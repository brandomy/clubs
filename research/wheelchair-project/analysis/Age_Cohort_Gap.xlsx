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daleastman/dev/clubs/research/wheelchair-project/background/"/>
    </mc:Choice>
  </mc:AlternateContent>
  <xr:revisionPtr revIDLastSave="0" documentId="13_ncr:9_{89281D2D-7382-3245-A7B3-F67E627A110D}" xr6:coauthVersionLast="47" xr6:coauthVersionMax="47" xr10:uidLastSave="{00000000-0000-0000-0000-000000000000}"/>
  <bookViews>
    <workbookView xWindow="1060" yWindow="880" windowWidth="28100" windowHeight="17180" xr2:uid="{1DEBD494-6494-9443-8C02-4A0FC7FD2CF6}"/>
  </bookViews>
  <sheets>
    <sheet name="Age_Cohort_Gap" sheetId="1" r:id="rId1"/>
    <sheet name="Penang Gap" sheetId="4" r:id="rId2"/>
    <sheet name="B_Age_Cohort_Gap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4" l="1"/>
  <c r="E47" i="4" s="1"/>
  <c r="E43" i="4"/>
  <c r="E42" i="4"/>
  <c r="E41" i="4"/>
  <c r="E39" i="4"/>
  <c r="E38" i="4"/>
  <c r="E37" i="4"/>
  <c r="E36" i="4"/>
  <c r="E35" i="4"/>
  <c r="H35" i="4" s="1"/>
  <c r="H45" i="4" s="1"/>
  <c r="H47" i="4" s="1"/>
  <c r="E34" i="4"/>
  <c r="E30" i="4"/>
  <c r="E28" i="4"/>
  <c r="E27" i="4"/>
  <c r="E26" i="4"/>
  <c r="E24" i="4"/>
  <c r="E23" i="4"/>
  <c r="E22" i="4"/>
  <c r="E21" i="4"/>
  <c r="E20" i="4"/>
  <c r="H20" i="4" s="1"/>
  <c r="H30" i="4" s="1"/>
  <c r="E19" i="4"/>
  <c r="H15" i="4"/>
  <c r="E15" i="4"/>
  <c r="E13" i="4"/>
  <c r="E12" i="4"/>
  <c r="E11" i="4"/>
  <c r="E10" i="4"/>
  <c r="E9" i="4"/>
  <c r="E8" i="4"/>
  <c r="E7" i="4"/>
  <c r="E6" i="4"/>
  <c r="H5" i="4"/>
  <c r="E5" i="4"/>
  <c r="E4" i="4"/>
  <c r="F41" i="3"/>
  <c r="F40" i="3"/>
  <c r="F39" i="3"/>
  <c r="F37" i="3"/>
  <c r="F36" i="3"/>
  <c r="F35" i="3"/>
  <c r="F34" i="3"/>
  <c r="F43" i="3" s="1"/>
  <c r="F45" i="3" s="1"/>
  <c r="I33" i="3"/>
  <c r="I43" i="3" s="1"/>
  <c r="I45" i="3" s="1"/>
  <c r="F33" i="3"/>
  <c r="F32" i="3"/>
  <c r="F26" i="3"/>
  <c r="F25" i="3"/>
  <c r="F24" i="3"/>
  <c r="F22" i="3"/>
  <c r="F21" i="3"/>
  <c r="F20" i="3"/>
  <c r="F19" i="3"/>
  <c r="F28" i="3" s="1"/>
  <c r="I18" i="3"/>
  <c r="I28" i="3" s="1"/>
  <c r="F18" i="3"/>
  <c r="F17" i="3"/>
  <c r="F11" i="3"/>
  <c r="F10" i="3"/>
  <c r="F9" i="3"/>
  <c r="F8" i="3"/>
  <c r="F7" i="3"/>
  <c r="F6" i="3"/>
  <c r="F5" i="3"/>
  <c r="F4" i="3"/>
  <c r="F13" i="3" s="1"/>
  <c r="F3" i="3"/>
  <c r="I3" i="3" s="1"/>
  <c r="I13" i="3" s="1"/>
  <c r="F2" i="3"/>
  <c r="E43" i="1"/>
  <c r="E42" i="1"/>
  <c r="E41" i="1"/>
  <c r="E39" i="1"/>
  <c r="E38" i="1"/>
  <c r="E37" i="1"/>
  <c r="E36" i="1"/>
  <c r="E35" i="1"/>
  <c r="H35" i="1" s="1"/>
  <c r="H45" i="1" s="1"/>
  <c r="E34" i="1"/>
  <c r="E28" i="1"/>
  <c r="E27" i="1"/>
  <c r="E26" i="1"/>
  <c r="E20" i="1"/>
  <c r="E21" i="1"/>
  <c r="E22" i="1"/>
  <c r="E23" i="1"/>
  <c r="E24" i="1"/>
  <c r="E19" i="1"/>
  <c r="E5" i="1"/>
  <c r="H5" i="1" s="1"/>
  <c r="H15" i="1" s="1"/>
  <c r="E6" i="1"/>
  <c r="E7" i="1"/>
  <c r="E8" i="1"/>
  <c r="E9" i="1"/>
  <c r="E10" i="1"/>
  <c r="E11" i="1"/>
  <c r="E12" i="1"/>
  <c r="E13" i="1"/>
  <c r="E4" i="1"/>
  <c r="E30" i="1" l="1"/>
  <c r="H20" i="1"/>
  <c r="H30" i="1" s="1"/>
  <c r="H47" i="1" s="1"/>
  <c r="E45" i="1"/>
  <c r="E15" i="1"/>
  <c r="E47" i="1" l="1"/>
</calcChain>
</file>

<file path=xl/sharedStrings.xml><?xml version="1.0" encoding="utf-8"?>
<sst xmlns="http://schemas.openxmlformats.org/spreadsheetml/2006/main" count="239" uniqueCount="54">
  <si>
    <t>country</t>
  </si>
  <si>
    <t>need_6_12</t>
  </si>
  <si>
    <t>gap_6_12_pct</t>
  </si>
  <si>
    <t>need_13_18</t>
  </si>
  <si>
    <t>gap_13_18_pct</t>
  </si>
  <si>
    <t>most_neglected</t>
  </si>
  <si>
    <t>Indonesia</t>
  </si>
  <si>
    <t>210000-480000</t>
  </si>
  <si>
    <t>280000-640000</t>
  </si>
  <si>
    <t>Malaysia</t>
  </si>
  <si>
    <t>19000-32000</t>
  </si>
  <si>
    <t>25000-42000</t>
  </si>
  <si>
    <t>Philippines</t>
  </si>
  <si>
    <t>171000-285000</t>
  </si>
  <si>
    <t>228000-380000</t>
  </si>
  <si>
    <t>Singapore</t>
  </si>
  <si>
    <t>450-720</t>
  </si>
  <si>
    <t>600-960</t>
  </si>
  <si>
    <t>Thailand</t>
  </si>
  <si>
    <t>16500-18000</t>
  </si>
  <si>
    <t>22000-24000</t>
  </si>
  <si>
    <t>Vietnam</t>
  </si>
  <si>
    <t>30000-45000</t>
  </si>
  <si>
    <t>40000-60000</t>
  </si>
  <si>
    <t>Myanmar</t>
  </si>
  <si>
    <t>estimate-unavailable</t>
  </si>
  <si>
    <t>95+</t>
  </si>
  <si>
    <t>all-critical</t>
  </si>
  <si>
    <t>Cambodia</t>
  </si>
  <si>
    <t>15000-18000</t>
  </si>
  <si>
    <t>20000-24000</t>
  </si>
  <si>
    <t>Laos</t>
  </si>
  <si>
    <t>6000-9000</t>
  </si>
  <si>
    <t>8000-12000</t>
  </si>
  <si>
    <t>Brunei</t>
  </si>
  <si>
    <t>420-450</t>
  </si>
  <si>
    <t>560-600</t>
  </si>
  <si>
    <t>need_2_5 (low)</t>
  </si>
  <si>
    <t>need 2-5 (low)</t>
  </si>
  <si>
    <t>need 2-5 (high)</t>
  </si>
  <si>
    <t>gap</t>
  </si>
  <si>
    <t>Timor Leste</t>
  </si>
  <si>
    <t>Total</t>
  </si>
  <si>
    <t>gap (Penang)</t>
  </si>
  <si>
    <t>need 6-12 (low)</t>
  </si>
  <si>
    <t>need 6-12 (high)</t>
  </si>
  <si>
    <t>Penang %</t>
  </si>
  <si>
    <t>need 13-18 (low)</t>
  </si>
  <si>
    <t>need 13-18 (high)</t>
  </si>
  <si>
    <t>gap (pct)</t>
  </si>
  <si>
    <t>gap  (pct)</t>
  </si>
  <si>
    <t>TOTAL</t>
  </si>
  <si>
    <t>ASEAN Child Wheelchair Gap by Age Cohort</t>
  </si>
  <si>
    <t>Penang Child Wheelchair Gap by Age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</si>
</sst>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9">
    <font>
      <sz val="12"/>
      <color theme="1"/>
      <name val="PTSans-Regular"/>
      <family val="2"/>
    </font>
    <font>
      <sz val="12"/>
      <color theme="1"/>
      <name val="PTSans-Regular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PTSans-Regular"/>
      <family val="2"/>
    </font>
    <font>
      <b/>
      <sz val="13"/>
      <color theme="3"/>
      <name val="PTSans-Regular"/>
      <family val="2"/>
    </font>
    <font>
      <b/>
      <sz val="11"/>
      <color theme="3"/>
      <name val="PTSans-Regular"/>
      <family val="2"/>
    </font>
    <font>
      <sz val="12"/>
      <color rgb="FF006100"/>
      <name val="PTSans-Regular"/>
      <family val="2"/>
    </font>
    <font>
      <sz val="12"/>
      <color rgb="FF9C0006"/>
      <name val="PTSans-Regular"/>
      <family val="2"/>
    </font>
    <font>
      <sz val="12"/>
      <color rgb="FF9C5700"/>
      <name val="PTSans-Regular"/>
      <family val="2"/>
    </font>
    <font>
      <sz val="12"/>
      <color rgb="FF3F3F76"/>
      <name val="PTSans-Regular"/>
      <family val="2"/>
    </font>
    <font>
      <b/>
      <sz val="12"/>
      <color rgb="FF3F3F3F"/>
      <name val="PTSans-Regular"/>
      <family val="2"/>
    </font>
    <font>
      <b/>
      <sz val="12"/>
      <color rgb="FFFA7D00"/>
      <name val="PTSans-Regular"/>
      <family val="2"/>
    </font>
    <font>
      <sz val="12"/>
      <color rgb="FFFA7D00"/>
      <name val="PTSans-Regular"/>
      <family val="2"/>
    </font>
    <font>
      <b/>
      <sz val="12"/>
      <color theme="0"/>
      <name val="PTSans-Regular"/>
      <family val="2"/>
    </font>
    <font>
      <sz val="12"/>
      <color rgb="FFFF0000"/>
      <name val="PTSans-Regular"/>
      <family val="2"/>
    </font>
    <font>
      <i/>
      <sz val="12"/>
      <color rgb="FF7F7F7F"/>
      <name val="PTSans-Regular"/>
      <family val="2"/>
    </font>
    <font>
      <b/>
      <sz val="12"/>
      <color theme="1"/>
      <name val="PTSans-Regular"/>
      <family val="2"/>
    </font>
    <font>
      <sz val="12"/>
      <color theme="0"/>
      <name val="PTSans-Regular"/>
      <family val="2"/>
    </font>
    <font>
      <b/>
      <sz val="12"/>
      <color theme="1"/>
      <name val="PTSans-Regula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" fontId="0" fillId="0" borderId="0" xfId="0" applyNumberFormat="1"/>
    <xf numFmtId="166" fontId="0" fillId="0" borderId="0" xfId="1" applyNumberFormat="1" applyFont="1"/>
    <xf numFmtId="9" fontId="0" fillId="0" borderId="0" xfId="2" applyFont="1"/>
    <xf numFmtId="9" fontId="0" fillId="0" borderId="0" xfId="0" applyNumberFormat="1"/>
    <xf numFmtId="166" fontId="0" fillId="0" borderId="0" xfId="0" applyNumberFormat="1"/>
    <xf numFmtId="0" fontId="18" fillId="0" borderId="0" xfId="0" applyFont="1"/>
    <xf numFmtId="0" fontId="16" fillId="0" borderId="9" xfId="19"/>
    <xf numFmtId="166" fontId="16" fillId="0" borderId="9" xfId="19" applyNumberFormat="1"/>
    <xf numFmtId="166" fontId="0" fillId="0" borderId="0" xfId="1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7" fillId="9" borderId="0" xfId="20" applyAlignment="1">
      <alignment horizontal="center"/>
    </xf>
    <xf numFmtId="166" fontId="17" fillId="9" borderId="0" xfId="20" applyNumberFormat="1" applyAlignment="1">
      <alignment horizontal="center"/>
    </xf>
    <xf numFmtId="0" fontId="17" fillId="13" borderId="0" xfId="24" applyAlignment="1">
      <alignment horizontal="center"/>
    </xf>
    <xf numFmtId="0" fontId="17" fillId="21" borderId="0" xfId="32"/>
    <xf numFmtId="166" fontId="17" fillId="21" borderId="0" xfId="32" applyNumberFormat="1"/>
    <xf numFmtId="0" fontId="17" fillId="21" borderId="0" xfId="32" applyAlignment="1">
      <alignment horizontal="center"/>
    </xf>
    <xf numFmtId="166" fontId="17" fillId="13" borderId="0" xfId="24" applyNumberFormat="1" applyAlignment="1">
      <alignment horizontal="center"/>
    </xf>
    <xf numFmtId="0" fontId="2" fillId="0" borderId="0" xfId="3"/>
    <xf numFmtId="166" fontId="17" fillId="21" borderId="0" xfId="32" applyNumberForma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18B7-4E86-8845-B8EB-792B7C7B9B97}">
  <sheetPr>
    <pageSetUpPr fitToPage="1"/>
  </sheetPr>
  <dimension ref="A1:H48"/>
  <sheetViews>
    <sheetView tabSelected="1" topLeftCell="A13" workbookViewId="0">
      <selection activeCell="J8" sqref="J8"/>
    </sheetView>
  </sheetViews>
  <sheetFormatPr baseColWidth="10" defaultRowHeight="16"/>
  <cols>
    <col min="1" max="1" width="11.140625" customWidth="1"/>
    <col min="2" max="2" width="14.140625" style="2" customWidth="1"/>
    <col min="3" max="3" width="14.42578125" style="2" customWidth="1"/>
    <col min="4" max="4" width="11.42578125" customWidth="1"/>
    <col min="6" max="6" width="3.140625" customWidth="1"/>
    <col min="7" max="7" width="8.28515625" bestFit="1" customWidth="1"/>
    <col min="8" max="8" width="10.7109375" customWidth="1"/>
  </cols>
  <sheetData>
    <row r="1" spans="1:8" ht="24">
      <c r="A1" s="18" t="s">
        <v>52</v>
      </c>
    </row>
    <row r="3" spans="1:8" s="10" customFormat="1">
      <c r="A3" s="11" t="s">
        <v>0</v>
      </c>
      <c r="B3" s="12" t="s">
        <v>38</v>
      </c>
      <c r="C3" s="12" t="s">
        <v>39</v>
      </c>
      <c r="D3" s="11" t="s">
        <v>50</v>
      </c>
      <c r="E3" s="11" t="s">
        <v>40</v>
      </c>
      <c r="F3" s="11"/>
      <c r="G3" s="11" t="s">
        <v>46</v>
      </c>
      <c r="H3" s="11" t="s">
        <v>43</v>
      </c>
    </row>
    <row r="4" spans="1:8">
      <c r="A4" t="s">
        <v>6</v>
      </c>
      <c r="B4" s="2">
        <v>210000</v>
      </c>
      <c r="C4" s="2">
        <v>480000</v>
      </c>
      <c r="D4" s="3">
        <v>0.95</v>
      </c>
      <c r="E4" s="9">
        <f>C4*D4</f>
        <v>456000</v>
      </c>
      <c r="F4" s="3"/>
      <c r="G4" s="3"/>
      <c r="H4" s="3"/>
    </row>
    <row r="5" spans="1:8">
      <c r="A5" t="s">
        <v>9</v>
      </c>
      <c r="B5" s="2">
        <v>19000</v>
      </c>
      <c r="C5" s="2">
        <v>32000</v>
      </c>
      <c r="D5" s="3">
        <v>0.95</v>
      </c>
      <c r="E5" s="2">
        <f t="shared" ref="E5:E13" si="0">C5*D5</f>
        <v>30400</v>
      </c>
      <c r="F5" s="3"/>
      <c r="G5" s="3">
        <v>0.06</v>
      </c>
      <c r="H5" s="2">
        <f>E5*G5</f>
        <v>1824</v>
      </c>
    </row>
    <row r="6" spans="1:8">
      <c r="A6" t="s">
        <v>12</v>
      </c>
      <c r="B6" s="2">
        <v>171000</v>
      </c>
      <c r="C6" s="2">
        <v>285000</v>
      </c>
      <c r="D6" s="3">
        <v>0.9</v>
      </c>
      <c r="E6" s="2">
        <f t="shared" si="0"/>
        <v>256500</v>
      </c>
      <c r="F6" s="3"/>
      <c r="G6" s="3"/>
      <c r="H6" s="3"/>
    </row>
    <row r="7" spans="1:8">
      <c r="A7" t="s">
        <v>15</v>
      </c>
      <c r="B7" s="2">
        <v>450</v>
      </c>
      <c r="C7" s="2">
        <v>720</v>
      </c>
      <c r="D7" s="4">
        <v>0.15</v>
      </c>
      <c r="E7" s="2">
        <f t="shared" si="0"/>
        <v>108</v>
      </c>
      <c r="F7" s="4"/>
      <c r="G7" s="4"/>
      <c r="H7" s="4"/>
    </row>
    <row r="8" spans="1:8">
      <c r="A8" t="s">
        <v>18</v>
      </c>
      <c r="B8" s="2">
        <v>16500</v>
      </c>
      <c r="C8" s="2">
        <v>18000</v>
      </c>
      <c r="D8" s="4">
        <v>0.85</v>
      </c>
      <c r="E8" s="2">
        <f t="shared" si="0"/>
        <v>15300</v>
      </c>
      <c r="F8" s="4"/>
      <c r="G8" s="4"/>
      <c r="H8" s="4"/>
    </row>
    <row r="9" spans="1:8">
      <c r="A9" t="s">
        <v>21</v>
      </c>
      <c r="B9" s="2">
        <v>30000</v>
      </c>
      <c r="C9" s="2">
        <v>45000</v>
      </c>
      <c r="D9" s="4">
        <v>0.95</v>
      </c>
      <c r="E9" s="2">
        <f t="shared" si="0"/>
        <v>42750</v>
      </c>
      <c r="F9" s="4"/>
      <c r="G9" s="4"/>
      <c r="H9" s="4"/>
    </row>
    <row r="10" spans="1:8">
      <c r="A10" t="s">
        <v>24</v>
      </c>
      <c r="D10" s="4"/>
      <c r="E10" s="2">
        <f t="shared" si="0"/>
        <v>0</v>
      </c>
      <c r="F10" s="4"/>
      <c r="G10" s="4"/>
      <c r="H10" s="4"/>
    </row>
    <row r="11" spans="1:8">
      <c r="A11" t="s">
        <v>28</v>
      </c>
      <c r="B11" s="2">
        <v>15000</v>
      </c>
      <c r="C11" s="2">
        <v>18000</v>
      </c>
      <c r="D11" s="4">
        <v>0.85</v>
      </c>
      <c r="E11" s="2">
        <f t="shared" si="0"/>
        <v>15300</v>
      </c>
      <c r="F11" s="4"/>
      <c r="G11" s="4"/>
      <c r="H11" s="4"/>
    </row>
    <row r="12" spans="1:8">
      <c r="A12" t="s">
        <v>31</v>
      </c>
      <c r="B12" s="2">
        <v>6000</v>
      </c>
      <c r="C12" s="2">
        <v>9000</v>
      </c>
      <c r="D12" s="4">
        <v>0.95</v>
      </c>
      <c r="E12" s="2">
        <f t="shared" si="0"/>
        <v>8550</v>
      </c>
      <c r="F12" s="4"/>
      <c r="G12" s="4"/>
      <c r="H12" s="4"/>
    </row>
    <row r="13" spans="1:8">
      <c r="A13" t="s">
        <v>34</v>
      </c>
      <c r="B13" s="2">
        <v>420</v>
      </c>
      <c r="C13" s="2">
        <v>450</v>
      </c>
      <c r="D13" s="4">
        <v>0.55000000000000004</v>
      </c>
      <c r="E13" s="2">
        <f t="shared" si="0"/>
        <v>247.50000000000003</v>
      </c>
      <c r="F13" s="4"/>
      <c r="G13" s="4"/>
      <c r="H13" s="4"/>
    </row>
    <row r="14" spans="1:8">
      <c r="A14" t="s">
        <v>41</v>
      </c>
    </row>
    <row r="15" spans="1:8" ht="17" thickBot="1">
      <c r="A15" s="7" t="s">
        <v>42</v>
      </c>
      <c r="B15" s="8"/>
      <c r="C15" s="8"/>
      <c r="D15" s="7"/>
      <c r="E15" s="8">
        <f>SUM(E4:E14)</f>
        <v>825155.5</v>
      </c>
      <c r="H15" s="8">
        <f>SUM(H4:H14)</f>
        <v>1824</v>
      </c>
    </row>
    <row r="16" spans="1:8" ht="17" thickTop="1"/>
    <row r="18" spans="1:8" s="6" customFormat="1">
      <c r="A18" s="13" t="s">
        <v>0</v>
      </c>
      <c r="B18" s="17" t="s">
        <v>44</v>
      </c>
      <c r="C18" s="17" t="s">
        <v>45</v>
      </c>
      <c r="D18" s="13" t="s">
        <v>49</v>
      </c>
      <c r="E18" s="13" t="s">
        <v>40</v>
      </c>
      <c r="F18" s="13"/>
      <c r="G18" s="13" t="s">
        <v>46</v>
      </c>
      <c r="H18" s="13" t="s">
        <v>43</v>
      </c>
    </row>
    <row r="19" spans="1:8">
      <c r="A19" t="s">
        <v>6</v>
      </c>
      <c r="B19" s="2">
        <v>280000</v>
      </c>
      <c r="C19" s="2">
        <v>640000</v>
      </c>
      <c r="D19" s="4">
        <v>0.9</v>
      </c>
      <c r="E19" s="5">
        <f>D19*C19</f>
        <v>576000</v>
      </c>
    </row>
    <row r="20" spans="1:8">
      <c r="A20" t="s">
        <v>9</v>
      </c>
      <c r="B20" s="2">
        <v>25000</v>
      </c>
      <c r="C20" s="2">
        <v>42000</v>
      </c>
      <c r="D20" s="4">
        <v>0.88</v>
      </c>
      <c r="E20" s="5">
        <f t="shared" ref="E20:E28" si="1">D20*C20</f>
        <v>36960</v>
      </c>
      <c r="G20" s="3">
        <v>0.06</v>
      </c>
      <c r="H20" s="2">
        <f>E20*G20</f>
        <v>2217.6</v>
      </c>
    </row>
    <row r="21" spans="1:8">
      <c r="A21" t="s">
        <v>12</v>
      </c>
      <c r="B21" s="2">
        <v>228000</v>
      </c>
      <c r="C21" s="2">
        <v>380000</v>
      </c>
      <c r="D21" s="4">
        <v>0.85</v>
      </c>
      <c r="E21" s="5">
        <f t="shared" si="1"/>
        <v>323000</v>
      </c>
    </row>
    <row r="22" spans="1:8">
      <c r="A22" t="s">
        <v>15</v>
      </c>
      <c r="B22" s="2">
        <v>600</v>
      </c>
      <c r="C22" s="2">
        <v>960</v>
      </c>
      <c r="D22" s="4">
        <v>0.1</v>
      </c>
      <c r="E22" s="5">
        <f t="shared" si="1"/>
        <v>96</v>
      </c>
    </row>
    <row r="23" spans="1:8">
      <c r="A23" t="s">
        <v>18</v>
      </c>
      <c r="B23" s="2">
        <v>22000</v>
      </c>
      <c r="C23" s="2">
        <v>24000</v>
      </c>
      <c r="D23" s="4">
        <v>0.75</v>
      </c>
      <c r="E23" s="5">
        <f t="shared" si="1"/>
        <v>18000</v>
      </c>
    </row>
    <row r="24" spans="1:8">
      <c r="A24" t="s">
        <v>21</v>
      </c>
      <c r="B24" s="2">
        <v>40000</v>
      </c>
      <c r="C24" s="2">
        <v>60000</v>
      </c>
      <c r="D24" s="4">
        <v>0.9</v>
      </c>
      <c r="E24" s="5">
        <f t="shared" si="1"/>
        <v>54000</v>
      </c>
    </row>
    <row r="25" spans="1:8">
      <c r="A25" t="s">
        <v>24</v>
      </c>
    </row>
    <row r="26" spans="1:8">
      <c r="A26" t="s">
        <v>28</v>
      </c>
      <c r="B26" s="2">
        <v>20000</v>
      </c>
      <c r="C26" s="2">
        <v>24000</v>
      </c>
      <c r="D26" s="4">
        <v>0.75</v>
      </c>
      <c r="E26" s="5">
        <f t="shared" si="1"/>
        <v>18000</v>
      </c>
    </row>
    <row r="27" spans="1:8">
      <c r="A27" t="s">
        <v>31</v>
      </c>
      <c r="B27" s="2">
        <v>8000</v>
      </c>
      <c r="C27" s="2">
        <v>12000</v>
      </c>
      <c r="D27" s="4">
        <v>0.85</v>
      </c>
      <c r="E27" s="5">
        <f t="shared" si="1"/>
        <v>10200</v>
      </c>
    </row>
    <row r="28" spans="1:8">
      <c r="A28" t="s">
        <v>34</v>
      </c>
      <c r="B28" s="2">
        <v>560</v>
      </c>
      <c r="C28" s="2">
        <v>600</v>
      </c>
      <c r="D28" s="4">
        <v>0.5</v>
      </c>
      <c r="E28" s="5">
        <f t="shared" si="1"/>
        <v>300</v>
      </c>
    </row>
    <row r="29" spans="1:8">
      <c r="A29" t="s">
        <v>41</v>
      </c>
    </row>
    <row r="30" spans="1:8" ht="17" thickBot="1">
      <c r="A30" s="7" t="s">
        <v>42</v>
      </c>
      <c r="B30" s="8"/>
      <c r="C30" s="8"/>
      <c r="D30" s="7"/>
      <c r="E30" s="8">
        <f>SUM(E19:E29)</f>
        <v>1036556</v>
      </c>
      <c r="H30" s="8">
        <f>SUM(H19:H29)</f>
        <v>2217.6</v>
      </c>
    </row>
    <row r="31" spans="1:8" ht="17" thickTop="1"/>
    <row r="33" spans="1:8">
      <c r="A33" s="16" t="s">
        <v>0</v>
      </c>
      <c r="B33" s="19" t="s">
        <v>47</v>
      </c>
      <c r="C33" s="19" t="s">
        <v>48</v>
      </c>
      <c r="D33" s="16" t="s">
        <v>49</v>
      </c>
      <c r="E33" s="16" t="s">
        <v>40</v>
      </c>
      <c r="F33" s="16"/>
      <c r="G33" s="16" t="s">
        <v>46</v>
      </c>
      <c r="H33" s="16" t="s">
        <v>43</v>
      </c>
    </row>
    <row r="34" spans="1:8">
      <c r="A34" t="s">
        <v>6</v>
      </c>
      <c r="B34" s="2">
        <v>210000</v>
      </c>
      <c r="C34" s="2">
        <v>480000</v>
      </c>
      <c r="D34" s="4">
        <v>0.85</v>
      </c>
      <c r="E34" s="5">
        <f>D34*C34</f>
        <v>408000</v>
      </c>
    </row>
    <row r="35" spans="1:8">
      <c r="A35" t="s">
        <v>9</v>
      </c>
      <c r="B35" s="2">
        <v>19000</v>
      </c>
      <c r="C35" s="2">
        <v>32000</v>
      </c>
      <c r="D35" s="4">
        <v>0.85</v>
      </c>
      <c r="E35" s="5">
        <f t="shared" ref="E35:E39" si="2">D35*C35</f>
        <v>27200</v>
      </c>
      <c r="G35" s="3">
        <v>0.06</v>
      </c>
      <c r="H35" s="2">
        <f>E35*G35</f>
        <v>1632</v>
      </c>
    </row>
    <row r="36" spans="1:8">
      <c r="A36" t="s">
        <v>12</v>
      </c>
      <c r="B36" s="2">
        <v>171000</v>
      </c>
      <c r="C36" s="2">
        <v>285000</v>
      </c>
      <c r="D36" s="4">
        <v>0.8</v>
      </c>
      <c r="E36" s="5">
        <f t="shared" si="2"/>
        <v>228000</v>
      </c>
    </row>
    <row r="37" spans="1:8">
      <c r="A37" t="s">
        <v>15</v>
      </c>
      <c r="B37" s="2">
        <v>450</v>
      </c>
      <c r="C37" s="2">
        <v>720</v>
      </c>
      <c r="D37" s="4">
        <v>0.08</v>
      </c>
      <c r="E37" s="5">
        <f t="shared" si="2"/>
        <v>57.6</v>
      </c>
    </row>
    <row r="38" spans="1:8">
      <c r="A38" t="s">
        <v>18</v>
      </c>
      <c r="B38" s="2">
        <v>16500</v>
      </c>
      <c r="C38" s="2">
        <v>18000</v>
      </c>
      <c r="D38" s="4">
        <v>0.7</v>
      </c>
      <c r="E38" s="5">
        <f t="shared" si="2"/>
        <v>12600</v>
      </c>
    </row>
    <row r="39" spans="1:8">
      <c r="A39" t="s">
        <v>21</v>
      </c>
      <c r="B39" s="2">
        <v>30000</v>
      </c>
      <c r="C39" s="2">
        <v>45000</v>
      </c>
      <c r="D39" s="4">
        <v>0.85</v>
      </c>
      <c r="E39" s="5">
        <f t="shared" si="2"/>
        <v>38250</v>
      </c>
    </row>
    <row r="40" spans="1:8">
      <c r="A40" t="s">
        <v>24</v>
      </c>
    </row>
    <row r="41" spans="1:8">
      <c r="A41" t="s">
        <v>28</v>
      </c>
      <c r="B41" s="2">
        <v>15000</v>
      </c>
      <c r="C41" s="2">
        <v>18000</v>
      </c>
      <c r="D41" s="4">
        <v>0.7</v>
      </c>
      <c r="E41" s="5">
        <f t="shared" ref="E41:E43" si="3">D41*C41</f>
        <v>12600</v>
      </c>
    </row>
    <row r="42" spans="1:8">
      <c r="A42" t="s">
        <v>31</v>
      </c>
      <c r="B42" s="2">
        <v>6000</v>
      </c>
      <c r="C42" s="2">
        <v>9000</v>
      </c>
      <c r="D42" s="4">
        <v>0.8</v>
      </c>
      <c r="E42" s="5">
        <f t="shared" si="3"/>
        <v>7200</v>
      </c>
    </row>
    <row r="43" spans="1:8">
      <c r="A43" t="s">
        <v>34</v>
      </c>
      <c r="B43" s="2">
        <v>420</v>
      </c>
      <c r="C43" s="2">
        <v>450</v>
      </c>
      <c r="D43" s="4">
        <v>0.45</v>
      </c>
      <c r="E43" s="5">
        <f t="shared" si="3"/>
        <v>202.5</v>
      </c>
    </row>
    <row r="44" spans="1:8">
      <c r="A44" t="s">
        <v>41</v>
      </c>
    </row>
    <row r="45" spans="1:8" ht="17" thickBot="1">
      <c r="A45" s="7" t="s">
        <v>42</v>
      </c>
      <c r="B45" s="8"/>
      <c r="C45" s="8"/>
      <c r="D45" s="7"/>
      <c r="E45" s="8">
        <f>SUM(E34:E44)</f>
        <v>734110.1</v>
      </c>
      <c r="H45" s="8">
        <f>SUM(H34:H44)</f>
        <v>1632</v>
      </c>
    </row>
    <row r="46" spans="1:8" ht="17" thickTop="1"/>
    <row r="47" spans="1:8" ht="17" thickBot="1">
      <c r="A47" s="7" t="s">
        <v>51</v>
      </c>
      <c r="B47" s="8"/>
      <c r="C47" s="8"/>
      <c r="D47" s="7"/>
      <c r="E47" s="8">
        <f>E45+E30+E15</f>
        <v>2595821.6</v>
      </c>
      <c r="H47" s="8">
        <f>H45+H30+H15</f>
        <v>5673.6</v>
      </c>
    </row>
    <row r="48" spans="1:8" ht="17" thickTop="1"/>
  </sheetData>
  <pageMargins left="0.75" right="0.75" top="1" bottom="1" header="0.5" footer="0.5"/>
  <pageSetup paperSize="9" scale="8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4FCF-5CE0-9742-AE1F-5DACCA5E0B1A}">
  <sheetPr>
    <pageSetUpPr fitToPage="1"/>
  </sheetPr>
  <dimension ref="A1:H48"/>
  <sheetViews>
    <sheetView workbookViewId="0">
      <selection activeCell="K27" sqref="K27"/>
    </sheetView>
  </sheetViews>
  <sheetFormatPr baseColWidth="10" defaultRowHeight="16"/>
  <cols>
    <col min="1" max="1" width="11.140625" customWidth="1"/>
    <col min="2" max="2" width="14.140625" style="2" customWidth="1"/>
    <col min="3" max="3" width="14.42578125" style="2" customWidth="1"/>
    <col min="4" max="4" width="11.42578125" customWidth="1"/>
    <col min="6" max="6" width="3.140625" customWidth="1"/>
    <col min="7" max="7" width="8.28515625" bestFit="1" customWidth="1"/>
    <col min="8" max="8" width="10.7109375" customWidth="1"/>
  </cols>
  <sheetData>
    <row r="1" spans="1:8" ht="24">
      <c r="A1" s="18" t="s">
        <v>53</v>
      </c>
    </row>
    <row r="3" spans="1:8" s="10" customFormat="1">
      <c r="A3" s="11" t="s">
        <v>0</v>
      </c>
      <c r="B3" s="12" t="s">
        <v>38</v>
      </c>
      <c r="C3" s="12" t="s">
        <v>39</v>
      </c>
      <c r="D3" s="11" t="s">
        <v>50</v>
      </c>
      <c r="E3" s="11" t="s">
        <v>40</v>
      </c>
      <c r="F3" s="11"/>
      <c r="G3" s="11" t="s">
        <v>46</v>
      </c>
      <c r="H3" s="11" t="s">
        <v>43</v>
      </c>
    </row>
    <row r="4" spans="1:8">
      <c r="A4" t="s">
        <v>6</v>
      </c>
      <c r="B4" s="2">
        <v>210000</v>
      </c>
      <c r="C4" s="2">
        <v>480000</v>
      </c>
      <c r="D4" s="3">
        <v>0.95</v>
      </c>
      <c r="E4" s="9">
        <f>C4*D4</f>
        <v>456000</v>
      </c>
      <c r="F4" s="3"/>
      <c r="G4" s="3"/>
      <c r="H4" s="3"/>
    </row>
    <row r="5" spans="1:8">
      <c r="A5" t="s">
        <v>9</v>
      </c>
      <c r="B5" s="2">
        <v>19000</v>
      </c>
      <c r="C5" s="2">
        <v>32000</v>
      </c>
      <c r="D5" s="3">
        <v>0.95</v>
      </c>
      <c r="E5" s="2">
        <f t="shared" ref="E5:E13" si="0">C5*D5</f>
        <v>30400</v>
      </c>
      <c r="F5" s="3"/>
      <c r="G5" s="3">
        <v>0.06</v>
      </c>
      <c r="H5" s="2">
        <f>E5*G5</f>
        <v>1824</v>
      </c>
    </row>
    <row r="6" spans="1:8">
      <c r="A6" t="s">
        <v>12</v>
      </c>
      <c r="B6" s="2">
        <v>171000</v>
      </c>
      <c r="C6" s="2">
        <v>285000</v>
      </c>
      <c r="D6" s="3">
        <v>0.9</v>
      </c>
      <c r="E6" s="2">
        <f t="shared" si="0"/>
        <v>256500</v>
      </c>
      <c r="F6" s="3"/>
      <c r="G6" s="3"/>
      <c r="H6" s="3"/>
    </row>
    <row r="7" spans="1:8">
      <c r="A7" t="s">
        <v>15</v>
      </c>
      <c r="B7" s="2">
        <v>450</v>
      </c>
      <c r="C7" s="2">
        <v>720</v>
      </c>
      <c r="D7" s="4">
        <v>0.15</v>
      </c>
      <c r="E7" s="2">
        <f t="shared" si="0"/>
        <v>108</v>
      </c>
      <c r="F7" s="4"/>
      <c r="G7" s="4"/>
      <c r="H7" s="4"/>
    </row>
    <row r="8" spans="1:8">
      <c r="A8" t="s">
        <v>18</v>
      </c>
      <c r="B8" s="2">
        <v>16500</v>
      </c>
      <c r="C8" s="2">
        <v>18000</v>
      </c>
      <c r="D8" s="4">
        <v>0.85</v>
      </c>
      <c r="E8" s="2">
        <f t="shared" si="0"/>
        <v>15300</v>
      </c>
      <c r="F8" s="4"/>
      <c r="G8" s="4"/>
      <c r="H8" s="4"/>
    </row>
    <row r="9" spans="1:8">
      <c r="A9" t="s">
        <v>21</v>
      </c>
      <c r="B9" s="2">
        <v>30000</v>
      </c>
      <c r="C9" s="2">
        <v>45000</v>
      </c>
      <c r="D9" s="4">
        <v>0.95</v>
      </c>
      <c r="E9" s="2">
        <f t="shared" si="0"/>
        <v>42750</v>
      </c>
      <c r="F9" s="4"/>
      <c r="G9" s="4"/>
      <c r="H9" s="4"/>
    </row>
    <row r="10" spans="1:8">
      <c r="A10" t="s">
        <v>24</v>
      </c>
      <c r="D10" s="4"/>
      <c r="E10" s="2">
        <f t="shared" si="0"/>
        <v>0</v>
      </c>
      <c r="F10" s="4"/>
      <c r="G10" s="4"/>
      <c r="H10" s="4"/>
    </row>
    <row r="11" spans="1:8">
      <c r="A11" t="s">
        <v>28</v>
      </c>
      <c r="B11" s="2">
        <v>15000</v>
      </c>
      <c r="C11" s="2">
        <v>18000</v>
      </c>
      <c r="D11" s="4">
        <v>0.85</v>
      </c>
      <c r="E11" s="2">
        <f t="shared" si="0"/>
        <v>15300</v>
      </c>
      <c r="F11" s="4"/>
      <c r="G11" s="4"/>
      <c r="H11" s="4"/>
    </row>
    <row r="12" spans="1:8">
      <c r="A12" t="s">
        <v>31</v>
      </c>
      <c r="B12" s="2">
        <v>6000</v>
      </c>
      <c r="C12" s="2">
        <v>9000</v>
      </c>
      <c r="D12" s="4">
        <v>0.95</v>
      </c>
      <c r="E12" s="2">
        <f t="shared" si="0"/>
        <v>8550</v>
      </c>
      <c r="F12" s="4"/>
      <c r="G12" s="4"/>
      <c r="H12" s="4"/>
    </row>
    <row r="13" spans="1:8">
      <c r="A13" t="s">
        <v>34</v>
      </c>
      <c r="B13" s="2">
        <v>420</v>
      </c>
      <c r="C13" s="2">
        <v>450</v>
      </c>
      <c r="D13" s="4">
        <v>0.55000000000000004</v>
      </c>
      <c r="E13" s="2">
        <f t="shared" si="0"/>
        <v>247.50000000000003</v>
      </c>
      <c r="F13" s="4"/>
      <c r="G13" s="4"/>
      <c r="H13" s="4"/>
    </row>
    <row r="14" spans="1:8">
      <c r="A14" t="s">
        <v>41</v>
      </c>
    </row>
    <row r="15" spans="1:8" ht="17" thickBot="1">
      <c r="A15" s="7" t="s">
        <v>42</v>
      </c>
      <c r="B15" s="8"/>
      <c r="C15" s="8"/>
      <c r="D15" s="7"/>
      <c r="E15" s="8">
        <f>SUM(E4:E14)</f>
        <v>825155.5</v>
      </c>
      <c r="H15" s="8">
        <f>SUM(H4:H14)</f>
        <v>1824</v>
      </c>
    </row>
    <row r="16" spans="1:8" ht="17" thickTop="1"/>
    <row r="18" spans="1:8" s="6" customFormat="1">
      <c r="A18" s="13" t="s">
        <v>0</v>
      </c>
      <c r="B18" s="17" t="s">
        <v>44</v>
      </c>
      <c r="C18" s="17" t="s">
        <v>45</v>
      </c>
      <c r="D18" s="13" t="s">
        <v>49</v>
      </c>
      <c r="E18" s="13" t="s">
        <v>40</v>
      </c>
      <c r="F18" s="13"/>
      <c r="G18" s="13" t="s">
        <v>46</v>
      </c>
      <c r="H18" s="13" t="s">
        <v>43</v>
      </c>
    </row>
    <row r="19" spans="1:8">
      <c r="A19" t="s">
        <v>6</v>
      </c>
      <c r="B19" s="2">
        <v>280000</v>
      </c>
      <c r="C19" s="2">
        <v>640000</v>
      </c>
      <c r="D19" s="4">
        <v>0.9</v>
      </c>
      <c r="E19" s="5">
        <f>D19*C19</f>
        <v>576000</v>
      </c>
    </row>
    <row r="20" spans="1:8">
      <c r="A20" t="s">
        <v>9</v>
      </c>
      <c r="B20" s="2">
        <v>25000</v>
      </c>
      <c r="C20" s="2">
        <v>42000</v>
      </c>
      <c r="D20" s="4">
        <v>0.88</v>
      </c>
      <c r="E20" s="5">
        <f t="shared" ref="E20:E28" si="1">D20*C20</f>
        <v>36960</v>
      </c>
      <c r="G20" s="3">
        <v>0.06</v>
      </c>
      <c r="H20" s="2">
        <f>E20*G20</f>
        <v>2217.6</v>
      </c>
    </row>
    <row r="21" spans="1:8">
      <c r="A21" t="s">
        <v>12</v>
      </c>
      <c r="B21" s="2">
        <v>228000</v>
      </c>
      <c r="C21" s="2">
        <v>380000</v>
      </c>
      <c r="D21" s="4">
        <v>0.85</v>
      </c>
      <c r="E21" s="5">
        <f t="shared" si="1"/>
        <v>323000</v>
      </c>
    </row>
    <row r="22" spans="1:8">
      <c r="A22" t="s">
        <v>15</v>
      </c>
      <c r="B22" s="2">
        <v>600</v>
      </c>
      <c r="C22" s="2">
        <v>960</v>
      </c>
      <c r="D22" s="4">
        <v>0.1</v>
      </c>
      <c r="E22" s="5">
        <f t="shared" si="1"/>
        <v>96</v>
      </c>
    </row>
    <row r="23" spans="1:8">
      <c r="A23" t="s">
        <v>18</v>
      </c>
      <c r="B23" s="2">
        <v>22000</v>
      </c>
      <c r="C23" s="2">
        <v>24000</v>
      </c>
      <c r="D23" s="4">
        <v>0.75</v>
      </c>
      <c r="E23" s="5">
        <f t="shared" si="1"/>
        <v>18000</v>
      </c>
    </row>
    <row r="24" spans="1:8">
      <c r="A24" t="s">
        <v>21</v>
      </c>
      <c r="B24" s="2">
        <v>40000</v>
      </c>
      <c r="C24" s="2">
        <v>60000</v>
      </c>
      <c r="D24" s="4">
        <v>0.9</v>
      </c>
      <c r="E24" s="5">
        <f t="shared" si="1"/>
        <v>54000</v>
      </c>
    </row>
    <row r="25" spans="1:8">
      <c r="A25" t="s">
        <v>24</v>
      </c>
    </row>
    <row r="26" spans="1:8">
      <c r="A26" t="s">
        <v>28</v>
      </c>
      <c r="B26" s="2">
        <v>20000</v>
      </c>
      <c r="C26" s="2">
        <v>24000</v>
      </c>
      <c r="D26" s="4">
        <v>0.75</v>
      </c>
      <c r="E26" s="5">
        <f t="shared" si="1"/>
        <v>18000</v>
      </c>
    </row>
    <row r="27" spans="1:8">
      <c r="A27" t="s">
        <v>31</v>
      </c>
      <c r="B27" s="2">
        <v>8000</v>
      </c>
      <c r="C27" s="2">
        <v>12000</v>
      </c>
      <c r="D27" s="4">
        <v>0.85</v>
      </c>
      <c r="E27" s="5">
        <f t="shared" si="1"/>
        <v>10200</v>
      </c>
    </row>
    <row r="28" spans="1:8">
      <c r="A28" t="s">
        <v>34</v>
      </c>
      <c r="B28" s="2">
        <v>560</v>
      </c>
      <c r="C28" s="2">
        <v>600</v>
      </c>
      <c r="D28" s="4">
        <v>0.5</v>
      </c>
      <c r="E28" s="5">
        <f t="shared" si="1"/>
        <v>300</v>
      </c>
    </row>
    <row r="29" spans="1:8">
      <c r="A29" t="s">
        <v>41</v>
      </c>
    </row>
    <row r="30" spans="1:8" ht="17" thickBot="1">
      <c r="A30" s="7" t="s">
        <v>42</v>
      </c>
      <c r="B30" s="8"/>
      <c r="C30" s="8"/>
      <c r="D30" s="7"/>
      <c r="E30" s="8">
        <f>SUM(E19:E29)</f>
        <v>1036556</v>
      </c>
      <c r="H30" s="8">
        <f>SUM(H19:H29)</f>
        <v>2217.6</v>
      </c>
    </row>
    <row r="31" spans="1:8" ht="17" thickTop="1"/>
    <row r="33" spans="1:8">
      <c r="A33" s="16" t="s">
        <v>0</v>
      </c>
      <c r="B33" s="19" t="s">
        <v>47</v>
      </c>
      <c r="C33" s="19" t="s">
        <v>48</v>
      </c>
      <c r="D33" s="16" t="s">
        <v>49</v>
      </c>
      <c r="E33" s="16" t="s">
        <v>40</v>
      </c>
      <c r="F33" s="16"/>
      <c r="G33" s="16" t="s">
        <v>46</v>
      </c>
      <c r="H33" s="16" t="s">
        <v>43</v>
      </c>
    </row>
    <row r="34" spans="1:8">
      <c r="A34" t="s">
        <v>6</v>
      </c>
      <c r="B34" s="2">
        <v>210000</v>
      </c>
      <c r="C34" s="2">
        <v>480000</v>
      </c>
      <c r="D34" s="4">
        <v>0.85</v>
      </c>
      <c r="E34" s="5">
        <f>D34*C34</f>
        <v>408000</v>
      </c>
    </row>
    <row r="35" spans="1:8">
      <c r="A35" t="s">
        <v>9</v>
      </c>
      <c r="B35" s="2">
        <v>19000</v>
      </c>
      <c r="C35" s="2">
        <v>32000</v>
      </c>
      <c r="D35" s="4">
        <v>0.85</v>
      </c>
      <c r="E35" s="5">
        <f t="shared" ref="E35:E39" si="2">D35*C35</f>
        <v>27200</v>
      </c>
      <c r="G35" s="3">
        <v>0.06</v>
      </c>
      <c r="H35" s="2">
        <f>E35*G35</f>
        <v>1632</v>
      </c>
    </row>
    <row r="36" spans="1:8">
      <c r="A36" t="s">
        <v>12</v>
      </c>
      <c r="B36" s="2">
        <v>171000</v>
      </c>
      <c r="C36" s="2">
        <v>285000</v>
      </c>
      <c r="D36" s="4">
        <v>0.8</v>
      </c>
      <c r="E36" s="5">
        <f t="shared" si="2"/>
        <v>228000</v>
      </c>
    </row>
    <row r="37" spans="1:8">
      <c r="A37" t="s">
        <v>15</v>
      </c>
      <c r="B37" s="2">
        <v>450</v>
      </c>
      <c r="C37" s="2">
        <v>720</v>
      </c>
      <c r="D37" s="4">
        <v>0.08</v>
      </c>
      <c r="E37" s="5">
        <f t="shared" si="2"/>
        <v>57.6</v>
      </c>
    </row>
    <row r="38" spans="1:8">
      <c r="A38" t="s">
        <v>18</v>
      </c>
      <c r="B38" s="2">
        <v>16500</v>
      </c>
      <c r="C38" s="2">
        <v>18000</v>
      </c>
      <c r="D38" s="4">
        <v>0.7</v>
      </c>
      <c r="E38" s="5">
        <f t="shared" si="2"/>
        <v>12600</v>
      </c>
    </row>
    <row r="39" spans="1:8">
      <c r="A39" t="s">
        <v>21</v>
      </c>
      <c r="B39" s="2">
        <v>30000</v>
      </c>
      <c r="C39" s="2">
        <v>45000</v>
      </c>
      <c r="D39" s="4">
        <v>0.85</v>
      </c>
      <c r="E39" s="5">
        <f t="shared" si="2"/>
        <v>38250</v>
      </c>
    </row>
    <row r="40" spans="1:8">
      <c r="A40" t="s">
        <v>24</v>
      </c>
    </row>
    <row r="41" spans="1:8">
      <c r="A41" t="s">
        <v>28</v>
      </c>
      <c r="B41" s="2">
        <v>15000</v>
      </c>
      <c r="C41" s="2">
        <v>18000</v>
      </c>
      <c r="D41" s="4">
        <v>0.7</v>
      </c>
      <c r="E41" s="5">
        <f t="shared" ref="E41:E43" si="3">D41*C41</f>
        <v>12600</v>
      </c>
    </row>
    <row r="42" spans="1:8">
      <c r="A42" t="s">
        <v>31</v>
      </c>
      <c r="B42" s="2">
        <v>6000</v>
      </c>
      <c r="C42" s="2">
        <v>9000</v>
      </c>
      <c r="D42" s="4">
        <v>0.8</v>
      </c>
      <c r="E42" s="5">
        <f t="shared" si="3"/>
        <v>7200</v>
      </c>
    </row>
    <row r="43" spans="1:8">
      <c r="A43" t="s">
        <v>34</v>
      </c>
      <c r="B43" s="2">
        <v>420</v>
      </c>
      <c r="C43" s="2">
        <v>450</v>
      </c>
      <c r="D43" s="4">
        <v>0.45</v>
      </c>
      <c r="E43" s="5">
        <f t="shared" si="3"/>
        <v>202.5</v>
      </c>
    </row>
    <row r="44" spans="1:8">
      <c r="A44" t="s">
        <v>41</v>
      </c>
    </row>
    <row r="45" spans="1:8" ht="17" thickBot="1">
      <c r="A45" s="7" t="s">
        <v>42</v>
      </c>
      <c r="B45" s="8"/>
      <c r="C45" s="8"/>
      <c r="D45" s="7"/>
      <c r="E45" s="8">
        <f>SUM(E34:E44)</f>
        <v>734110.1</v>
      </c>
      <c r="H45" s="8">
        <f>SUM(H34:H44)</f>
        <v>1632</v>
      </c>
    </row>
    <row r="46" spans="1:8" ht="17" thickTop="1"/>
    <row r="47" spans="1:8" ht="17" thickBot="1">
      <c r="A47" s="7" t="s">
        <v>51</v>
      </c>
      <c r="B47" s="8"/>
      <c r="C47" s="8"/>
      <c r="D47" s="7"/>
      <c r="E47" s="8">
        <f>E45+E30+E15</f>
        <v>2595821.6</v>
      </c>
      <c r="H47" s="8">
        <f>H45+H30+H15</f>
        <v>5673.6</v>
      </c>
    </row>
    <row r="48" spans="1:8" ht="17" thickTop="1"/>
  </sheetData>
  <pageMargins left="0.75" right="0.75" top="1" bottom="1" header="0.5" footer="0.5"/>
  <pageSetup paperSize="9" scale="6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9F91-4600-6E48-A550-263EE6CD960A}">
  <dimension ref="A1:O46"/>
  <sheetViews>
    <sheetView workbookViewId="0">
      <selection activeCell="I49" sqref="I49"/>
    </sheetView>
  </sheetViews>
  <sheetFormatPr baseColWidth="10" defaultRowHeight="16"/>
  <cols>
    <col min="1" max="1" width="11.140625" customWidth="1"/>
    <col min="2" max="2" width="20.140625" customWidth="1"/>
    <col min="3" max="3" width="14.140625" style="2" customWidth="1"/>
    <col min="4" max="4" width="14.42578125" style="2" customWidth="1"/>
    <col min="5" max="5" width="11.42578125" customWidth="1"/>
    <col min="7" max="7" width="3.140625" customWidth="1"/>
    <col min="8" max="8" width="8.28515625" bestFit="1" customWidth="1"/>
    <col min="9" max="10" width="10.7109375" customWidth="1"/>
  </cols>
  <sheetData>
    <row r="1" spans="1:15" s="10" customFormat="1">
      <c r="A1" s="11" t="s">
        <v>0</v>
      </c>
      <c r="B1" s="11" t="s">
        <v>37</v>
      </c>
      <c r="C1" s="12" t="s">
        <v>38</v>
      </c>
      <c r="D1" s="12" t="s">
        <v>39</v>
      </c>
      <c r="E1" s="11" t="s">
        <v>50</v>
      </c>
      <c r="F1" s="11" t="s">
        <v>40</v>
      </c>
      <c r="G1" s="11"/>
      <c r="H1" s="11" t="s">
        <v>46</v>
      </c>
      <c r="I1" s="11" t="s">
        <v>43</v>
      </c>
      <c r="K1" s="10" t="s">
        <v>1</v>
      </c>
      <c r="L1" s="10" t="s">
        <v>2</v>
      </c>
      <c r="M1" s="10" t="s">
        <v>3</v>
      </c>
      <c r="N1" s="10" t="s">
        <v>4</v>
      </c>
      <c r="O1" s="10" t="s">
        <v>5</v>
      </c>
    </row>
    <row r="2" spans="1:15">
      <c r="A2" t="s">
        <v>6</v>
      </c>
      <c r="B2" t="s">
        <v>7</v>
      </c>
      <c r="C2" s="2">
        <v>210000</v>
      </c>
      <c r="D2" s="2">
        <v>480000</v>
      </c>
      <c r="E2" s="3">
        <v>0.95</v>
      </c>
      <c r="F2" s="9">
        <f>D2*E2</f>
        <v>456000</v>
      </c>
      <c r="G2" s="3"/>
      <c r="H2" s="3"/>
      <c r="I2" s="3"/>
      <c r="J2" s="3"/>
      <c r="K2" t="s">
        <v>8</v>
      </c>
      <c r="L2">
        <v>90</v>
      </c>
      <c r="M2" t="s">
        <v>7</v>
      </c>
      <c r="N2">
        <v>85</v>
      </c>
      <c r="O2" s="1">
        <v>46144</v>
      </c>
    </row>
    <row r="3" spans="1:15">
      <c r="A3" t="s">
        <v>9</v>
      </c>
      <c r="B3" t="s">
        <v>10</v>
      </c>
      <c r="C3" s="2">
        <v>19000</v>
      </c>
      <c r="D3" s="2">
        <v>32000</v>
      </c>
      <c r="E3" s="3">
        <v>0.95</v>
      </c>
      <c r="F3" s="2">
        <f t="shared" ref="F3:F11" si="0">D3*E3</f>
        <v>30400</v>
      </c>
      <c r="G3" s="3"/>
      <c r="H3" s="3">
        <v>0.06</v>
      </c>
      <c r="I3" s="2">
        <f>F3*H3</f>
        <v>1824</v>
      </c>
      <c r="J3" s="2"/>
      <c r="K3" t="s">
        <v>11</v>
      </c>
      <c r="L3">
        <v>88</v>
      </c>
      <c r="M3" t="s">
        <v>10</v>
      </c>
      <c r="N3">
        <v>85</v>
      </c>
      <c r="O3" s="1">
        <v>46144</v>
      </c>
    </row>
    <row r="4" spans="1:15">
      <c r="A4" t="s">
        <v>12</v>
      </c>
      <c r="B4" t="s">
        <v>13</v>
      </c>
      <c r="C4" s="2">
        <v>171000</v>
      </c>
      <c r="D4" s="2">
        <v>285000</v>
      </c>
      <c r="E4" s="3">
        <v>0.9</v>
      </c>
      <c r="F4" s="2">
        <f t="shared" si="0"/>
        <v>256500</v>
      </c>
      <c r="G4" s="3"/>
      <c r="H4" s="3"/>
      <c r="I4" s="3"/>
      <c r="J4" s="3"/>
      <c r="K4" t="s">
        <v>14</v>
      </c>
      <c r="L4">
        <v>85</v>
      </c>
      <c r="M4" t="s">
        <v>13</v>
      </c>
      <c r="N4">
        <v>80</v>
      </c>
      <c r="O4" s="1">
        <v>46144</v>
      </c>
    </row>
    <row r="5" spans="1:15">
      <c r="A5" t="s">
        <v>15</v>
      </c>
      <c r="B5" t="s">
        <v>16</v>
      </c>
      <c r="C5" s="2">
        <v>450</v>
      </c>
      <c r="D5" s="2">
        <v>720</v>
      </c>
      <c r="E5" s="4">
        <v>0.15</v>
      </c>
      <c r="F5" s="2">
        <f t="shared" si="0"/>
        <v>108</v>
      </c>
      <c r="G5" s="4"/>
      <c r="H5" s="4"/>
      <c r="I5" s="4"/>
      <c r="J5" s="4"/>
      <c r="K5" t="s">
        <v>17</v>
      </c>
      <c r="L5">
        <v>10</v>
      </c>
      <c r="M5" t="s">
        <v>16</v>
      </c>
      <c r="N5">
        <v>8</v>
      </c>
      <c r="O5" s="1">
        <v>46144</v>
      </c>
    </row>
    <row r="6" spans="1:15">
      <c r="A6" t="s">
        <v>18</v>
      </c>
      <c r="B6" t="s">
        <v>19</v>
      </c>
      <c r="C6" s="2">
        <v>16500</v>
      </c>
      <c r="D6" s="2">
        <v>18000</v>
      </c>
      <c r="E6" s="4">
        <v>0.85</v>
      </c>
      <c r="F6" s="2">
        <f t="shared" si="0"/>
        <v>15300</v>
      </c>
      <c r="G6" s="4"/>
      <c r="H6" s="4"/>
      <c r="I6" s="4"/>
      <c r="J6" s="4"/>
      <c r="K6" t="s">
        <v>20</v>
      </c>
      <c r="L6">
        <v>75</v>
      </c>
      <c r="M6" t="s">
        <v>19</v>
      </c>
      <c r="N6">
        <v>70</v>
      </c>
      <c r="O6" s="1">
        <v>46144</v>
      </c>
    </row>
    <row r="7" spans="1:15">
      <c r="A7" t="s">
        <v>21</v>
      </c>
      <c r="B7" t="s">
        <v>22</v>
      </c>
      <c r="C7" s="2">
        <v>30000</v>
      </c>
      <c r="D7" s="2">
        <v>45000</v>
      </c>
      <c r="E7" s="4">
        <v>0.95</v>
      </c>
      <c r="F7" s="2">
        <f t="shared" si="0"/>
        <v>42750</v>
      </c>
      <c r="G7" s="4"/>
      <c r="H7" s="4"/>
      <c r="I7" s="4"/>
      <c r="J7" s="4"/>
      <c r="K7" t="s">
        <v>23</v>
      </c>
      <c r="L7">
        <v>90</v>
      </c>
      <c r="M7" t="s">
        <v>22</v>
      </c>
      <c r="N7">
        <v>85</v>
      </c>
      <c r="O7" s="1">
        <v>46144</v>
      </c>
    </row>
    <row r="8" spans="1:15">
      <c r="A8" t="s">
        <v>24</v>
      </c>
      <c r="B8" t="s">
        <v>25</v>
      </c>
      <c r="E8" s="4"/>
      <c r="F8" s="2">
        <f t="shared" si="0"/>
        <v>0</v>
      </c>
      <c r="G8" s="4"/>
      <c r="H8" s="4"/>
      <c r="I8" s="4"/>
      <c r="J8" s="4"/>
      <c r="K8" t="s">
        <v>25</v>
      </c>
      <c r="L8" t="s">
        <v>26</v>
      </c>
      <c r="M8" t="s">
        <v>25</v>
      </c>
      <c r="N8" t="s">
        <v>26</v>
      </c>
      <c r="O8" t="s">
        <v>27</v>
      </c>
    </row>
    <row r="9" spans="1:15">
      <c r="A9" t="s">
        <v>28</v>
      </c>
      <c r="B9" t="s">
        <v>29</v>
      </c>
      <c r="C9" s="2">
        <v>15000</v>
      </c>
      <c r="D9" s="2">
        <v>18000</v>
      </c>
      <c r="E9" s="4">
        <v>0.85</v>
      </c>
      <c r="F9" s="2">
        <f t="shared" si="0"/>
        <v>15300</v>
      </c>
      <c r="G9" s="4"/>
      <c r="H9" s="4"/>
      <c r="I9" s="4"/>
      <c r="J9" s="4"/>
      <c r="K9" t="s">
        <v>30</v>
      </c>
      <c r="L9">
        <v>75</v>
      </c>
      <c r="M9" t="s">
        <v>29</v>
      </c>
      <c r="N9">
        <v>70</v>
      </c>
      <c r="O9" s="1">
        <v>46144</v>
      </c>
    </row>
    <row r="10" spans="1:15">
      <c r="A10" t="s">
        <v>31</v>
      </c>
      <c r="B10" t="s">
        <v>32</v>
      </c>
      <c r="C10" s="2">
        <v>6000</v>
      </c>
      <c r="D10" s="2">
        <v>9000</v>
      </c>
      <c r="E10" s="4">
        <v>0.95</v>
      </c>
      <c r="F10" s="2">
        <f t="shared" si="0"/>
        <v>8550</v>
      </c>
      <c r="G10" s="4"/>
      <c r="H10" s="4"/>
      <c r="I10" s="4"/>
      <c r="J10" s="4"/>
      <c r="K10" t="s">
        <v>33</v>
      </c>
      <c r="L10">
        <v>85</v>
      </c>
      <c r="M10" t="s">
        <v>32</v>
      </c>
      <c r="N10">
        <v>80</v>
      </c>
      <c r="O10" s="1">
        <v>46144</v>
      </c>
    </row>
    <row r="11" spans="1:15">
      <c r="A11" t="s">
        <v>34</v>
      </c>
      <c r="B11" t="s">
        <v>35</v>
      </c>
      <c r="C11" s="2">
        <v>420</v>
      </c>
      <c r="D11" s="2">
        <v>450</v>
      </c>
      <c r="E11" s="4">
        <v>0.55000000000000004</v>
      </c>
      <c r="F11" s="2">
        <f t="shared" si="0"/>
        <v>247.50000000000003</v>
      </c>
      <c r="G11" s="4"/>
      <c r="H11" s="4"/>
      <c r="I11" s="4"/>
      <c r="J11" s="4"/>
      <c r="K11" t="s">
        <v>36</v>
      </c>
      <c r="L11">
        <v>50</v>
      </c>
      <c r="M11" t="s">
        <v>35</v>
      </c>
      <c r="N11">
        <v>45</v>
      </c>
      <c r="O11" s="1">
        <v>46144</v>
      </c>
    </row>
    <row r="12" spans="1:15">
      <c r="A12" t="s">
        <v>41</v>
      </c>
    </row>
    <row r="13" spans="1:15" ht="17" thickBot="1">
      <c r="A13" s="7" t="s">
        <v>42</v>
      </c>
      <c r="B13" s="7"/>
      <c r="C13" s="8"/>
      <c r="D13" s="8"/>
      <c r="E13" s="7"/>
      <c r="F13" s="8">
        <f>SUM(F2:F12)</f>
        <v>825155.5</v>
      </c>
      <c r="I13" s="8">
        <f>SUM(I2:I12)</f>
        <v>1824</v>
      </c>
    </row>
    <row r="14" spans="1:15" ht="17" thickTop="1"/>
    <row r="16" spans="1:15" s="6" customFormat="1">
      <c r="A16" s="13" t="s">
        <v>0</v>
      </c>
      <c r="B16" s="13" t="s">
        <v>1</v>
      </c>
      <c r="C16" s="17" t="s">
        <v>44</v>
      </c>
      <c r="D16" s="17" t="s">
        <v>45</v>
      </c>
      <c r="E16" s="13" t="s">
        <v>49</v>
      </c>
      <c r="F16" s="13" t="s">
        <v>40</v>
      </c>
      <c r="G16" s="13"/>
      <c r="H16" s="13" t="s">
        <v>46</v>
      </c>
      <c r="I16" s="13" t="s">
        <v>43</v>
      </c>
    </row>
    <row r="17" spans="1:9">
      <c r="A17" t="s">
        <v>6</v>
      </c>
      <c r="B17" t="s">
        <v>8</v>
      </c>
      <c r="C17" s="2">
        <v>280000</v>
      </c>
      <c r="D17" s="2">
        <v>640000</v>
      </c>
      <c r="E17" s="4">
        <v>0.9</v>
      </c>
      <c r="F17" s="5">
        <f>E17*D17</f>
        <v>576000</v>
      </c>
    </row>
    <row r="18" spans="1:9">
      <c r="A18" t="s">
        <v>9</v>
      </c>
      <c r="B18" t="s">
        <v>11</v>
      </c>
      <c r="C18" s="2">
        <v>25000</v>
      </c>
      <c r="D18" s="2">
        <v>42000</v>
      </c>
      <c r="E18" s="4">
        <v>0.88</v>
      </c>
      <c r="F18" s="5">
        <f t="shared" ref="F18:F26" si="1">E18*D18</f>
        <v>36960</v>
      </c>
      <c r="H18" s="3">
        <v>0.06</v>
      </c>
      <c r="I18" s="2">
        <f>F18*H18</f>
        <v>2217.6</v>
      </c>
    </row>
    <row r="19" spans="1:9">
      <c r="A19" t="s">
        <v>12</v>
      </c>
      <c r="B19" t="s">
        <v>14</v>
      </c>
      <c r="C19" s="2">
        <v>228000</v>
      </c>
      <c r="D19" s="2">
        <v>380000</v>
      </c>
      <c r="E19" s="4">
        <v>0.85</v>
      </c>
      <c r="F19" s="5">
        <f t="shared" si="1"/>
        <v>323000</v>
      </c>
    </row>
    <row r="20" spans="1:9">
      <c r="A20" t="s">
        <v>15</v>
      </c>
      <c r="B20" t="s">
        <v>17</v>
      </c>
      <c r="C20" s="2">
        <v>600</v>
      </c>
      <c r="D20" s="2">
        <v>960</v>
      </c>
      <c r="E20" s="4">
        <v>0.1</v>
      </c>
      <c r="F20" s="5">
        <f t="shared" si="1"/>
        <v>96</v>
      </c>
    </row>
    <row r="21" spans="1:9">
      <c r="A21" t="s">
        <v>18</v>
      </c>
      <c r="B21" t="s">
        <v>20</v>
      </c>
      <c r="C21" s="2">
        <v>22000</v>
      </c>
      <c r="D21" s="2">
        <v>24000</v>
      </c>
      <c r="E21" s="4">
        <v>0.75</v>
      </c>
      <c r="F21" s="5">
        <f t="shared" si="1"/>
        <v>18000</v>
      </c>
    </row>
    <row r="22" spans="1:9">
      <c r="A22" t="s">
        <v>21</v>
      </c>
      <c r="B22" t="s">
        <v>23</v>
      </c>
      <c r="C22" s="2">
        <v>40000</v>
      </c>
      <c r="D22" s="2">
        <v>60000</v>
      </c>
      <c r="E22" s="4">
        <v>0.9</v>
      </c>
      <c r="F22" s="5">
        <f t="shared" si="1"/>
        <v>54000</v>
      </c>
    </row>
    <row r="23" spans="1:9">
      <c r="A23" t="s">
        <v>24</v>
      </c>
      <c r="B23" t="s">
        <v>25</v>
      </c>
    </row>
    <row r="24" spans="1:9">
      <c r="A24" t="s">
        <v>28</v>
      </c>
      <c r="B24" t="s">
        <v>30</v>
      </c>
      <c r="C24" s="2">
        <v>20000</v>
      </c>
      <c r="D24" s="2">
        <v>24000</v>
      </c>
      <c r="E24" s="4">
        <v>0.75</v>
      </c>
      <c r="F24" s="5">
        <f t="shared" si="1"/>
        <v>18000</v>
      </c>
    </row>
    <row r="25" spans="1:9">
      <c r="A25" t="s">
        <v>31</v>
      </c>
      <c r="B25" t="s">
        <v>33</v>
      </c>
      <c r="C25" s="2">
        <v>8000</v>
      </c>
      <c r="D25" s="2">
        <v>12000</v>
      </c>
      <c r="E25" s="4">
        <v>0.85</v>
      </c>
      <c r="F25" s="5">
        <f t="shared" si="1"/>
        <v>10200</v>
      </c>
    </row>
    <row r="26" spans="1:9">
      <c r="A26" t="s">
        <v>34</v>
      </c>
      <c r="B26" t="s">
        <v>36</v>
      </c>
      <c r="C26" s="2">
        <v>560</v>
      </c>
      <c r="D26" s="2">
        <v>600</v>
      </c>
      <c r="E26" s="4">
        <v>0.5</v>
      </c>
      <c r="F26" s="5">
        <f t="shared" si="1"/>
        <v>300</v>
      </c>
    </row>
    <row r="27" spans="1:9">
      <c r="A27" t="s">
        <v>41</v>
      </c>
      <c r="B27" t="s">
        <v>25</v>
      </c>
    </row>
    <row r="28" spans="1:9" ht="17" thickBot="1">
      <c r="A28" s="7" t="s">
        <v>42</v>
      </c>
      <c r="B28" s="7"/>
      <c r="C28" s="8"/>
      <c r="D28" s="8"/>
      <c r="E28" s="7"/>
      <c r="F28" s="8">
        <f>SUM(F17:F27)</f>
        <v>1036556</v>
      </c>
      <c r="I28" s="8">
        <f>SUM(I17:I27)</f>
        <v>2217.6</v>
      </c>
    </row>
    <row r="29" spans="1:9" ht="17" thickTop="1"/>
    <row r="31" spans="1:9">
      <c r="A31" s="14" t="s">
        <v>0</v>
      </c>
      <c r="B31" s="14" t="s">
        <v>1</v>
      </c>
      <c r="C31" s="15" t="s">
        <v>47</v>
      </c>
      <c r="D31" s="15" t="s">
        <v>48</v>
      </c>
      <c r="E31" s="14" t="s">
        <v>49</v>
      </c>
      <c r="F31" s="14" t="s">
        <v>40</v>
      </c>
      <c r="G31" s="14"/>
      <c r="H31" s="16" t="s">
        <v>46</v>
      </c>
      <c r="I31" s="16" t="s">
        <v>43</v>
      </c>
    </row>
    <row r="32" spans="1:9">
      <c r="A32" t="s">
        <v>6</v>
      </c>
      <c r="B32" t="s">
        <v>7</v>
      </c>
      <c r="C32" s="2">
        <v>210000</v>
      </c>
      <c r="D32" s="2">
        <v>480000</v>
      </c>
      <c r="E32" s="4">
        <v>0.85</v>
      </c>
      <c r="F32" s="5">
        <f>E32*D32</f>
        <v>408000</v>
      </c>
    </row>
    <row r="33" spans="1:9">
      <c r="A33" t="s">
        <v>9</v>
      </c>
      <c r="B33" t="s">
        <v>10</v>
      </c>
      <c r="C33" s="2">
        <v>19000</v>
      </c>
      <c r="D33" s="2">
        <v>32000</v>
      </c>
      <c r="E33" s="4">
        <v>0.85</v>
      </c>
      <c r="F33" s="5">
        <f t="shared" ref="F33:F37" si="2">E33*D33</f>
        <v>27200</v>
      </c>
      <c r="H33" s="3">
        <v>0.06</v>
      </c>
      <c r="I33" s="2">
        <f>F33*H33</f>
        <v>1632</v>
      </c>
    </row>
    <row r="34" spans="1:9">
      <c r="A34" t="s">
        <v>12</v>
      </c>
      <c r="B34" t="s">
        <v>13</v>
      </c>
      <c r="C34" s="2">
        <v>171000</v>
      </c>
      <c r="D34" s="2">
        <v>285000</v>
      </c>
      <c r="E34" s="4">
        <v>0.8</v>
      </c>
      <c r="F34" s="5">
        <f t="shared" si="2"/>
        <v>228000</v>
      </c>
    </row>
    <row r="35" spans="1:9">
      <c r="A35" t="s">
        <v>15</v>
      </c>
      <c r="B35" t="s">
        <v>16</v>
      </c>
      <c r="C35" s="2">
        <v>450</v>
      </c>
      <c r="D35" s="2">
        <v>720</v>
      </c>
      <c r="E35" s="4">
        <v>0.08</v>
      </c>
      <c r="F35" s="5">
        <f t="shared" si="2"/>
        <v>57.6</v>
      </c>
    </row>
    <row r="36" spans="1:9">
      <c r="A36" t="s">
        <v>18</v>
      </c>
      <c r="B36" t="s">
        <v>19</v>
      </c>
      <c r="C36" s="2">
        <v>16500</v>
      </c>
      <c r="D36" s="2">
        <v>18000</v>
      </c>
      <c r="E36" s="4">
        <v>0.7</v>
      </c>
      <c r="F36" s="5">
        <f t="shared" si="2"/>
        <v>12600</v>
      </c>
    </row>
    <row r="37" spans="1:9">
      <c r="A37" t="s">
        <v>21</v>
      </c>
      <c r="B37" t="s">
        <v>22</v>
      </c>
      <c r="C37" s="2">
        <v>30000</v>
      </c>
      <c r="D37" s="2">
        <v>45000</v>
      </c>
      <c r="E37" s="4">
        <v>0.85</v>
      </c>
      <c r="F37" s="5">
        <f t="shared" si="2"/>
        <v>38250</v>
      </c>
    </row>
    <row r="38" spans="1:9">
      <c r="A38" t="s">
        <v>24</v>
      </c>
      <c r="B38" t="s">
        <v>25</v>
      </c>
    </row>
    <row r="39" spans="1:9">
      <c r="A39" t="s">
        <v>28</v>
      </c>
      <c r="B39" t="s">
        <v>29</v>
      </c>
      <c r="C39" s="2">
        <v>15000</v>
      </c>
      <c r="D39" s="2">
        <v>18000</v>
      </c>
      <c r="E39" s="4">
        <v>0.7</v>
      </c>
      <c r="F39" s="5">
        <f t="shared" ref="F39:F41" si="3">E39*D39</f>
        <v>12600</v>
      </c>
    </row>
    <row r="40" spans="1:9">
      <c r="A40" t="s">
        <v>31</v>
      </c>
      <c r="B40" t="s">
        <v>32</v>
      </c>
      <c r="C40" s="2">
        <v>6000</v>
      </c>
      <c r="D40" s="2">
        <v>9000</v>
      </c>
      <c r="E40" s="4">
        <v>0.8</v>
      </c>
      <c r="F40" s="5">
        <f t="shared" si="3"/>
        <v>7200</v>
      </c>
    </row>
    <row r="41" spans="1:9">
      <c r="A41" t="s">
        <v>34</v>
      </c>
      <c r="B41" t="s">
        <v>35</v>
      </c>
      <c r="C41" s="2">
        <v>420</v>
      </c>
      <c r="D41" s="2">
        <v>450</v>
      </c>
      <c r="E41" s="4">
        <v>0.45</v>
      </c>
      <c r="F41" s="5">
        <f t="shared" si="3"/>
        <v>202.5</v>
      </c>
    </row>
    <row r="42" spans="1:9">
      <c r="A42" t="s">
        <v>41</v>
      </c>
      <c r="B42" t="s">
        <v>25</v>
      </c>
    </row>
    <row r="43" spans="1:9" ht="17" thickBot="1">
      <c r="A43" s="7" t="s">
        <v>42</v>
      </c>
      <c r="B43" s="7"/>
      <c r="C43" s="8"/>
      <c r="D43" s="8"/>
      <c r="E43" s="7"/>
      <c r="F43" s="8">
        <f>SUM(F32:F42)</f>
        <v>734110.1</v>
      </c>
      <c r="I43" s="8">
        <f>SUM(I32:I42)</f>
        <v>1632</v>
      </c>
    </row>
    <row r="44" spans="1:9" ht="17" thickTop="1"/>
    <row r="45" spans="1:9" ht="17" thickBot="1">
      <c r="A45" s="7" t="s">
        <v>51</v>
      </c>
      <c r="B45" s="7"/>
      <c r="C45" s="8"/>
      <c r="D45" s="8"/>
      <c r="E45" s="7"/>
      <c r="F45" s="8">
        <f>F43+F28+F13</f>
        <v>2595821.6</v>
      </c>
      <c r="I45" s="8">
        <f>I43+I28+I13</f>
        <v>5673.6</v>
      </c>
    </row>
    <row r="46" spans="1:9" ht="17" thickTop="1"/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Age_Cohort_Gap</vt:lpstr>
      <vt:lpstr>Penang Gap</vt:lpstr>
      <vt:lpstr>B_Age_Cohort_Gap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Eastman</dc:creator>
  <cp:lastModifiedBy>Randal Eastman</cp:lastModifiedBy>
  <cp:lastPrinted>2026-01-15T10:33:03Z</cp:lastPrinted>
  <dcterms:created xsi:type="dcterms:W3CDTF">2026-01-15T09:45:11Z</dcterms:created>
  <dcterms:modified xsi:type="dcterms:W3CDTF">2026-01-15T12:13:55Z</dcterms:modified>
</cp:coreProperties>
</file>